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vie\Documents\EXCEL\"/>
    </mc:Choice>
  </mc:AlternateContent>
  <xr:revisionPtr revIDLastSave="0" documentId="13_ncr:1_{F290DC72-264E-45E5-85D1-453667874D81}" xr6:coauthVersionLast="47" xr6:coauthVersionMax="47" xr10:uidLastSave="{00000000-0000-0000-0000-000000000000}"/>
  <bookViews>
    <workbookView xWindow="-120" yWindow="-120" windowWidth="29040" windowHeight="15840" activeTab="1" xr2:uid="{A58A9C3D-46CE-4CD4-87F2-A3B19E5E77C9}"/>
  </bookViews>
  <sheets>
    <sheet name="Configuracion" sheetId="1" r:id="rId1"/>
    <sheet name="Nota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2" l="1"/>
  <c r="C5" i="2"/>
  <c r="B5" i="2"/>
  <c r="E7" i="2"/>
  <c r="F7" i="2" s="1"/>
  <c r="G7" i="2" s="1"/>
  <c r="E8" i="2"/>
  <c r="F8" i="2" s="1"/>
  <c r="G8" i="2" s="1"/>
  <c r="E9" i="2"/>
  <c r="F9" i="2" s="1"/>
  <c r="G9" i="2" s="1"/>
  <c r="E10" i="2"/>
  <c r="E11" i="2"/>
  <c r="E12" i="2"/>
  <c r="E13" i="2"/>
  <c r="E14" i="2"/>
  <c r="E15" i="2"/>
  <c r="E16" i="2"/>
  <c r="E17" i="2"/>
  <c r="E18" i="2"/>
  <c r="E19" i="2"/>
  <c r="E20" i="2"/>
  <c r="E21" i="2"/>
  <c r="F21" i="2" s="1"/>
  <c r="G21" i="2" s="1"/>
  <c r="E22" i="2"/>
  <c r="F22" i="2" s="1"/>
  <c r="G22" i="2" s="1"/>
  <c r="E23" i="2"/>
  <c r="F23" i="2" s="1"/>
  <c r="G23" i="2" s="1"/>
  <c r="E24" i="2"/>
  <c r="F24" i="2" s="1"/>
  <c r="G24" i="2" s="1"/>
  <c r="E25" i="2"/>
  <c r="F25" i="2" s="1"/>
  <c r="G25" i="2" s="1"/>
  <c r="E26" i="2"/>
  <c r="F26" i="2" s="1"/>
  <c r="G26" i="2" s="1"/>
  <c r="E27" i="2"/>
  <c r="F27" i="2" s="1"/>
  <c r="G27" i="2" s="1"/>
  <c r="E28" i="2"/>
  <c r="E29" i="2"/>
  <c r="F29" i="2" s="1"/>
  <c r="G29" i="2" s="1"/>
  <c r="E30" i="2"/>
  <c r="F30" i="2" s="1"/>
  <c r="G30" i="2" s="1"/>
  <c r="E31" i="2"/>
  <c r="F31" i="2" s="1"/>
  <c r="G31" i="2" s="1"/>
  <c r="E32" i="2"/>
  <c r="F32" i="2" s="1"/>
  <c r="G32" i="2" s="1"/>
  <c r="E33" i="2"/>
  <c r="F33" i="2" s="1"/>
  <c r="G33" i="2" s="1"/>
  <c r="E34" i="2"/>
  <c r="F34" i="2" s="1"/>
  <c r="G34" i="2" s="1"/>
  <c r="E35" i="2"/>
  <c r="F35" i="2" s="1"/>
  <c r="G35" i="2" s="1"/>
  <c r="E36" i="2"/>
  <c r="F36" i="2" s="1"/>
  <c r="G36" i="2" s="1"/>
  <c r="E37" i="2"/>
  <c r="F37" i="2" s="1"/>
  <c r="G37" i="2" s="1"/>
  <c r="E38" i="2"/>
  <c r="F38" i="2" s="1"/>
  <c r="G38" i="2" s="1"/>
  <c r="E6" i="2"/>
  <c r="F6" i="2" s="1"/>
  <c r="G6" i="2" s="1"/>
  <c r="D7" i="1"/>
  <c r="A38" i="2"/>
  <c r="A21" i="2"/>
  <c r="A35" i="2"/>
  <c r="A36" i="2"/>
  <c r="A37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3" i="2"/>
  <c r="A24" i="2"/>
  <c r="A25" i="2"/>
  <c r="A26" i="2"/>
  <c r="A27" i="2"/>
  <c r="A28" i="2"/>
  <c r="A29" i="2"/>
  <c r="A30" i="2"/>
  <c r="A31" i="2"/>
  <c r="A32" i="2"/>
  <c r="A33" i="2"/>
  <c r="A34" i="2"/>
  <c r="A22" i="2"/>
  <c r="F28" i="2"/>
  <c r="G28" i="2" s="1"/>
  <c r="D13" i="1" l="1"/>
  <c r="F20" i="2" l="1"/>
  <c r="G20" i="2" s="1"/>
  <c r="D12" i="1"/>
  <c r="F14" i="2"/>
  <c r="G14" i="2" s="1"/>
  <c r="F19" i="2"/>
  <c r="G19" i="2" s="1"/>
  <c r="F16" i="2"/>
  <c r="G16" i="2" s="1"/>
  <c r="F18" i="2"/>
  <c r="G18" i="2" s="1"/>
  <c r="F11" i="2"/>
  <c r="G11" i="2"/>
  <c r="F12" i="2"/>
  <c r="G12" i="2" s="1"/>
  <c r="F17" i="2"/>
  <c r="G17" i="2" s="1"/>
  <c r="F15" i="2"/>
  <c r="G15" i="2" s="1"/>
  <c r="D10" i="1"/>
  <c r="F10" i="2"/>
  <c r="G10" i="2" s="1"/>
  <c r="D11" i="1"/>
  <c r="F13" i="2"/>
  <c r="G13" i="2" s="1"/>
  <c r="D15" i="1" l="1"/>
  <c r="D18" i="1"/>
  <c r="D16" i="1"/>
  <c r="D17" i="1"/>
</calcChain>
</file>

<file path=xl/sharedStrings.xml><?xml version="1.0" encoding="utf-8"?>
<sst xmlns="http://schemas.openxmlformats.org/spreadsheetml/2006/main" count="38" uniqueCount="37">
  <si>
    <t>Dostin Hurtado</t>
  </si>
  <si>
    <t>Oscar Hurtado</t>
  </si>
  <si>
    <t>Tatiana aya</t>
  </si>
  <si>
    <t>Luis Ramirez</t>
  </si>
  <si>
    <t>Carlos Cedeño</t>
  </si>
  <si>
    <t>Omar Corredor</t>
  </si>
  <si>
    <t>Carlos Andres</t>
  </si>
  <si>
    <t>Fuckencio Martinez</t>
  </si>
  <si>
    <t>Edgar Ortiz</t>
  </si>
  <si>
    <t>Alberto Ochoa</t>
  </si>
  <si>
    <t>Alejandra Guzman</t>
  </si>
  <si>
    <t>Jenny Colmenares</t>
  </si>
  <si>
    <t>Nelsy Pico</t>
  </si>
  <si>
    <t>Erika Herrera</t>
  </si>
  <si>
    <t>Trollencio Gimenes</t>
  </si>
  <si>
    <t>LA ESCUELITA COLOMBIANA</t>
  </si>
  <si>
    <t>TABLERO DE NOTAS</t>
  </si>
  <si>
    <t>ESTUDIANTES</t>
  </si>
  <si>
    <t>PROMEDIO DE CURSO</t>
  </si>
  <si>
    <t>APROBADOS</t>
  </si>
  <si>
    <t>REPROBADOS</t>
  </si>
  <si>
    <t>DESEMPEÑO</t>
  </si>
  <si>
    <t>BAJO</t>
  </si>
  <si>
    <t>MEDIO</t>
  </si>
  <si>
    <t>ALTO</t>
  </si>
  <si>
    <t>SUPERIOR</t>
  </si>
  <si>
    <t>ESTADISTICAS</t>
  </si>
  <si>
    <t>TOTAL ESTUDIANTES</t>
  </si>
  <si>
    <t>EXCEL</t>
  </si>
  <si>
    <t>WORD</t>
  </si>
  <si>
    <t>ACCESS</t>
  </si>
  <si>
    <t>NOTA FINAL</t>
  </si>
  <si>
    <t>TABLERO DE CONFIGURACIÓN</t>
  </si>
  <si>
    <t>PORCENTAJE DE NOTAS</t>
  </si>
  <si>
    <t>TOTAL</t>
  </si>
  <si>
    <t>CALIFICACIÓN</t>
  </si>
  <si>
    <t>NOMBRES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</si>
</sst>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(* #,##0.0_);_(* \(#,##0.0\);_(* &quot;-&quot;??_);_(@_)"/>
    <numFmt numFmtId="165" formatCode="0.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2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0" borderId="1" xfId="0" applyBorder="1"/>
    <xf numFmtId="164" fontId="0" fillId="0" borderId="1" xfId="1" applyNumberFormat="1" applyFont="1" applyBorder="1"/>
    <xf numFmtId="0" fontId="0" fillId="3" borderId="1" xfId="0" applyFill="1" applyBorder="1"/>
    <xf numFmtId="0" fontId="2" fillId="4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2" fontId="0" fillId="0" borderId="1" xfId="0" applyNumberFormat="1" applyBorder="1"/>
    <xf numFmtId="9" fontId="0" fillId="0" borderId="1" xfId="2" applyFont="1" applyBorder="1"/>
    <xf numFmtId="9" fontId="0" fillId="0" borderId="0" xfId="0" applyNumberFormat="1"/>
    <xf numFmtId="165" fontId="0" fillId="0" borderId="1" xfId="0" applyNumberFormat="1" applyBorder="1" applyProtection="1">
      <protection locked="0"/>
    </xf>
    <xf numFmtId="0" fontId="0" fillId="0" borderId="1" xfId="0" applyBorder="1" applyProtection="1">
      <protection locked="0"/>
    </xf>
    <xf numFmtId="0" fontId="3" fillId="0" borderId="0" xfId="0" applyFont="1"/>
    <xf numFmtId="0" fontId="6" fillId="0" borderId="0" xfId="3"/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5" fillId="4" borderId="0" xfId="0" applyFont="1" applyFill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4" fillId="4" borderId="0" xfId="0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0" borderId="0" xfId="0" applyAlignment="1">
      <alignment horizontal="center" wrapText="1"/>
    </xf>
  </cellXfs>
  <cellStyles count="4">
    <cellStyle name="Hipervínculo" xfId="3" builtinId="8"/>
    <cellStyle name="Millares" xfId="1" builtinId="3"/>
    <cellStyle name="Normal" xfId="0" builtinId="0"/>
    <cellStyle name="Porcentaje" xfId="2" builtinId="5"/>
  </cellStyles>
  <dxfs count="8">
    <dxf>
      <font>
        <b/>
        <i/>
        <color rgb="FFFF0000"/>
      </font>
      <fill>
        <patternFill patternType="none">
          <bgColor auto="1"/>
        </patternFill>
      </fill>
    </dxf>
    <dxf>
      <fill>
        <patternFill>
          <bgColor rgb="FFFF5353"/>
        </patternFill>
      </fill>
    </dxf>
    <dxf>
      <fill>
        <patternFill>
          <bgColor rgb="FFF6F97F"/>
        </patternFill>
      </fill>
    </dxf>
    <dxf>
      <fill>
        <patternFill>
          <bgColor rgb="FFFFBD5B"/>
        </patternFill>
      </fill>
    </dxf>
    <dxf>
      <fill>
        <patternFill>
          <bgColor rgb="FF00D6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5EC9-7DB6-4852-AAAC-56D0192A175F}">
  <sheetPr codeName="Hoja1"/>
  <dimension ref="A1:D36"/>
  <sheetViews>
    <sheetView showGridLines="0" workbookViewId="0">
      <selection activeCell="A17" sqref="A17"/>
    </sheetView>
  </sheetViews>
  <sheetFormatPr baseColWidth="10" defaultRowHeight="15" x14ac:dyDescent="0.25"/>
  <cols>
    <col min="1" max="1" width="21.42578125" customWidth="1"/>
    <col min="3" max="3" width="20" bestFit="1" customWidth="1"/>
  </cols>
  <sheetData>
    <row r="1" spans="1:4" ht="21" x14ac:dyDescent="0.35">
      <c r="A1" s="17" t="s">
        <v>32</v>
      </c>
      <c r="B1" s="17"/>
      <c r="C1" s="17"/>
      <c r="D1" s="17"/>
    </row>
    <row r="3" spans="1:4" x14ac:dyDescent="0.25">
      <c r="A3" s="5" t="s">
        <v>17</v>
      </c>
      <c r="C3" s="18" t="s">
        <v>33</v>
      </c>
      <c r="D3" s="18"/>
    </row>
    <row r="4" spans="1:4" x14ac:dyDescent="0.25">
      <c r="A4" s="2" t="s">
        <v>0</v>
      </c>
      <c r="C4" s="2" t="s">
        <v>28</v>
      </c>
      <c r="D4" s="8">
        <v>0.4</v>
      </c>
    </row>
    <row r="5" spans="1:4" x14ac:dyDescent="0.25">
      <c r="A5" s="2" t="s">
        <v>1</v>
      </c>
      <c r="C5" s="2" t="s">
        <v>29</v>
      </c>
      <c r="D5" s="8">
        <v>0.3</v>
      </c>
    </row>
    <row r="6" spans="1:4" x14ac:dyDescent="0.25">
      <c r="A6" s="2" t="s">
        <v>2</v>
      </c>
      <c r="C6" s="2" t="s">
        <v>30</v>
      </c>
      <c r="D6" s="8">
        <v>0.3</v>
      </c>
    </row>
    <row r="7" spans="1:4" x14ac:dyDescent="0.25">
      <c r="A7" s="2" t="s">
        <v>3</v>
      </c>
      <c r="C7" s="5" t="s">
        <v>34</v>
      </c>
      <c r="D7" s="8">
        <f>SUM(D4:D6)</f>
        <v>1</v>
      </c>
    </row>
    <row r="8" spans="1:4" x14ac:dyDescent="0.25">
      <c r="A8" s="2" t="s">
        <v>4</v>
      </c>
    </row>
    <row r="9" spans="1:4" x14ac:dyDescent="0.25">
      <c r="A9" s="2" t="s">
        <v>5</v>
      </c>
      <c r="C9" s="14" t="s">
        <v>26</v>
      </c>
      <c r="D9" s="14"/>
    </row>
    <row r="10" spans="1:4" x14ac:dyDescent="0.25">
      <c r="A10" s="2" t="s">
        <v>6</v>
      </c>
      <c r="C10" s="4" t="s">
        <v>18</v>
      </c>
      <c r="D10" s="7">
        <f>AVERAGE(Notas!E6:E21)</f>
        <v>2.6381250000000001</v>
      </c>
    </row>
    <row r="11" spans="1:4" x14ac:dyDescent="0.25">
      <c r="A11" s="2" t="s">
        <v>7</v>
      </c>
      <c r="C11" s="4" t="s">
        <v>19</v>
      </c>
      <c r="D11" s="2">
        <f>COUNTIF(Notas!F6:F21,"APROBO")</f>
        <v>6</v>
      </c>
    </row>
    <row r="12" spans="1:4" x14ac:dyDescent="0.25">
      <c r="A12" s="2" t="s">
        <v>8</v>
      </c>
      <c r="C12" s="4" t="s">
        <v>20</v>
      </c>
      <c r="D12" s="2">
        <f>COUNTIF(Notas!F6:F21,"REPROBO")</f>
        <v>10</v>
      </c>
    </row>
    <row r="13" spans="1:4" x14ac:dyDescent="0.25">
      <c r="A13" s="2" t="s">
        <v>9</v>
      </c>
      <c r="C13" s="4" t="s">
        <v>27</v>
      </c>
      <c r="D13" s="2">
        <f>COUNTA(Configuracion!A4:A36)</f>
        <v>15</v>
      </c>
    </row>
    <row r="14" spans="1:4" x14ac:dyDescent="0.25">
      <c r="A14" s="2" t="s">
        <v>10</v>
      </c>
      <c r="C14" s="15" t="s">
        <v>21</v>
      </c>
      <c r="D14" s="16"/>
    </row>
    <row r="15" spans="1:4" x14ac:dyDescent="0.25">
      <c r="A15" s="2" t="s">
        <v>11</v>
      </c>
      <c r="C15" s="4" t="s">
        <v>22</v>
      </c>
      <c r="D15" s="2">
        <f>COUNTIF(Notas!$G$6:$G$21,Configuracion!C15)</f>
        <v>10</v>
      </c>
    </row>
    <row r="16" spans="1:4" x14ac:dyDescent="0.25">
      <c r="A16" s="2" t="s">
        <v>12</v>
      </c>
      <c r="C16" s="4" t="s">
        <v>23</v>
      </c>
      <c r="D16" s="2">
        <f>COUNTIF(Notas!$G$6:$G$21,Configuracion!C16)</f>
        <v>5</v>
      </c>
    </row>
    <row r="17" spans="1:4" x14ac:dyDescent="0.25">
      <c r="A17" s="2" t="s">
        <v>13</v>
      </c>
      <c r="C17" s="4" t="s">
        <v>24</v>
      </c>
      <c r="D17" s="2">
        <f>COUNTIF(Notas!$G$6:$G$21,Configuracion!C17)</f>
        <v>0</v>
      </c>
    </row>
    <row r="18" spans="1:4" x14ac:dyDescent="0.25">
      <c r="A18" s="2" t="s">
        <v>14</v>
      </c>
      <c r="C18" s="4" t="s">
        <v>25</v>
      </c>
      <c r="D18" s="2">
        <f>COUNTIF(Notas!$G$6:$G$21,Configuracion!C18)</f>
        <v>1</v>
      </c>
    </row>
    <row r="19" spans="1:4" x14ac:dyDescent="0.25">
      <c r="A19" s="2"/>
    </row>
    <row r="20" spans="1:4" x14ac:dyDescent="0.25">
      <c r="A20" s="2"/>
    </row>
    <row r="21" spans="1:4" x14ac:dyDescent="0.25">
      <c r="A21" s="2"/>
    </row>
    <row r="22" spans="1:4" x14ac:dyDescent="0.25">
      <c r="A22" s="2"/>
    </row>
    <row r="23" spans="1:4" x14ac:dyDescent="0.25">
      <c r="A23" s="2"/>
    </row>
    <row r="24" spans="1:4" x14ac:dyDescent="0.25">
      <c r="A24" s="2"/>
    </row>
    <row r="25" spans="1:4" x14ac:dyDescent="0.25">
      <c r="A25" s="2"/>
    </row>
    <row r="26" spans="1:4" x14ac:dyDescent="0.25">
      <c r="A26" s="2"/>
    </row>
    <row r="27" spans="1:4" x14ac:dyDescent="0.25">
      <c r="A27" s="2"/>
    </row>
    <row r="28" spans="1:4" x14ac:dyDescent="0.25">
      <c r="A28" s="2"/>
    </row>
    <row r="29" spans="1:4" x14ac:dyDescent="0.25">
      <c r="A29" s="2"/>
    </row>
    <row r="30" spans="1:4" x14ac:dyDescent="0.25">
      <c r="A30" s="2"/>
    </row>
    <row r="31" spans="1:4" x14ac:dyDescent="0.25">
      <c r="A31" s="2"/>
    </row>
    <row r="32" spans="1:4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</sheetData>
  <mergeCells count="4">
    <mergeCell ref="C9:D9"/>
    <mergeCell ref="C14:D14"/>
    <mergeCell ref="A1:D1"/>
    <mergeCell ref="C3:D3"/>
  </mergeCells>
  <conditionalFormatting sqref="D7">
    <cfRule type="cellIs" dxfId="7" priority="1" operator="equal">
      <formula>100%</formula>
    </cfRule>
    <cfRule type="cellIs" dxfId="6" priority="2" operator="notEqual">
      <formula>100%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6BE04-2186-4933-9320-5689C9133730}">
  <sheetPr codeName="Hoja2"/>
  <dimension ref="A1:M38"/>
  <sheetViews>
    <sheetView showGridLines="0" tabSelected="1" topLeftCell="A2" workbookViewId="0">
      <selection activeCell="M5" sqref="J5:M6"/>
    </sheetView>
  </sheetViews>
  <sheetFormatPr baseColWidth="10" defaultRowHeight="15" x14ac:dyDescent="0.25"/>
  <cols>
    <col min="1" max="1" width="18.28515625" bestFit="1" customWidth="1"/>
    <col min="5" max="6" width="15.7109375" customWidth="1"/>
    <col min="7" max="7" width="13.28515625" customWidth="1"/>
    <col min="10" max="10" width="12.7109375" customWidth="1"/>
  </cols>
  <sheetData>
    <row r="1" spans="1:13" ht="18.75" x14ac:dyDescent="0.3">
      <c r="A1" s="19" t="s">
        <v>15</v>
      </c>
      <c r="B1" s="19"/>
      <c r="C1" s="19"/>
      <c r="D1" s="19"/>
      <c r="E1" s="19"/>
      <c r="F1" s="19"/>
      <c r="G1" s="19"/>
    </row>
    <row r="3" spans="1:13" x14ac:dyDescent="0.25">
      <c r="A3" s="20" t="s">
        <v>16</v>
      </c>
      <c r="B3" s="20"/>
      <c r="C3" s="20"/>
      <c r="D3" s="20"/>
      <c r="E3" s="20"/>
      <c r="F3" s="20"/>
      <c r="G3" s="20"/>
    </row>
    <row r="5" spans="1:13" x14ac:dyDescent="0.25">
      <c r="A5" s="1" t="s">
        <v>36</v>
      </c>
      <c r="B5" s="1" t="str">
        <f>Configuracion!C4</f>
        <v>EXCEL</v>
      </c>
      <c r="C5" s="1" t="str">
        <f>Configuracion!C5</f>
        <v>WORD</v>
      </c>
      <c r="D5" s="1" t="str">
        <f>Configuracion!C6</f>
        <v>ACCESS</v>
      </c>
      <c r="E5" s="1" t="s">
        <v>31</v>
      </c>
      <c r="F5" s="1" t="s">
        <v>35</v>
      </c>
      <c r="G5" s="1" t="s">
        <v>21</v>
      </c>
    </row>
    <row r="6" spans="1:13" x14ac:dyDescent="0.25">
      <c r="A6" s="2" t="str">
        <f>IF(Configuracion!A4="","",Configuracion!A4)</f>
        <v>Dostin Hurtado</v>
      </c>
      <c r="B6" s="10">
        <v>4.9000000000000004</v>
      </c>
      <c r="C6" s="10">
        <v>5</v>
      </c>
      <c r="D6" s="10">
        <v>5</v>
      </c>
      <c r="E6" s="3">
        <f>(B6*Configuracion!$D$4)+(C6*Configuracion!$D$5)+(D6*Configuracion!$D$6)</f>
        <v>4.96</v>
      </c>
      <c r="F6" s="2" t="str">
        <f t="shared" ref="F6:F20" si="0">IF(E6="","",IF(E6&lt;3,"REPROBO","APROBO"))</f>
        <v>APROBO</v>
      </c>
      <c r="G6" s="6" t="str">
        <f>IF(F6="","",IF(E6&lt;0,"ERROR",IF(E6&lt;3,Configuracion!$C$15,IF(E6&lt;4,Configuracion!$C$16,IF(E6&lt;4.8,Configuracion!$C$17,IF(E6&lt;=5,Configuracion!$C$18,"ERROR"))))))</f>
        <v>SUPERIOR</v>
      </c>
      <c r="I6" s="9"/>
    </row>
    <row r="7" spans="1:13" ht="15" customHeight="1" x14ac:dyDescent="0.25">
      <c r="A7" s="2" t="str">
        <f>IF(Configuracion!A5="","",Configuracion!A5)</f>
        <v>Oscar Hurtado</v>
      </c>
      <c r="B7" s="10">
        <v>1</v>
      </c>
      <c r="C7" s="10">
        <v>2</v>
      </c>
      <c r="D7" s="10">
        <v>4</v>
      </c>
      <c r="E7" s="3">
        <f>(B7*Configuracion!$D$4)+(C7*Configuracion!$D$5)+(D7*Configuracion!$D$6)</f>
        <v>2.2000000000000002</v>
      </c>
      <c r="F7" s="2" t="str">
        <f t="shared" si="0"/>
        <v>REPROBO</v>
      </c>
      <c r="G7" s="6" t="str">
        <f>IF(F7="","",IF(E7&lt;0,"ERROR",IF(E7&lt;3,Configuracion!$C$15,IF(E7&lt;4,Configuracion!$C$16,IF(E7&lt;4.8,Configuracion!$C$17,IF(E7&lt;=5,Configuracion!$C$18,"ERROR"))))))</f>
        <v>BAJO</v>
      </c>
      <c r="J7" s="21"/>
      <c r="K7" s="21"/>
      <c r="L7" s="21"/>
      <c r="M7" s="21"/>
    </row>
    <row r="8" spans="1:13" x14ac:dyDescent="0.25">
      <c r="A8" s="2" t="str">
        <f>IF(Configuracion!A6="","",Configuracion!A6)</f>
        <v>Tatiana aya</v>
      </c>
      <c r="B8" s="10">
        <v>1</v>
      </c>
      <c r="C8" s="10">
        <v>5</v>
      </c>
      <c r="D8" s="10">
        <v>4</v>
      </c>
      <c r="E8" s="3">
        <f>(B8*Configuracion!$D$4)+(C8*Configuracion!$D$5)+(D8*Configuracion!$D$6)</f>
        <v>3.0999999999999996</v>
      </c>
      <c r="F8" s="2" t="str">
        <f t="shared" si="0"/>
        <v>APROBO</v>
      </c>
      <c r="G8" s="6" t="str">
        <f>IF(F8="","",IF(E8&lt;0,"ERROR",IF(E8&lt;3,Configuracion!$C$15,IF(E8&lt;4,Configuracion!$C$16,IF(E8&lt;4.8,Configuracion!$C$17,IF(E8&lt;=5,Configuracion!$C$18,"ERROR"))))))</f>
        <v>MEDIO</v>
      </c>
      <c r="J8" s="21"/>
      <c r="K8" s="21"/>
      <c r="L8" s="21"/>
      <c r="M8" s="21"/>
    </row>
    <row r="9" spans="1:13" x14ac:dyDescent="0.25">
      <c r="A9" s="2" t="str">
        <f>IF(Configuracion!A7="","",Configuracion!A7)</f>
        <v>Luis Ramirez</v>
      </c>
      <c r="B9" s="10">
        <v>1</v>
      </c>
      <c r="C9" s="10">
        <v>2</v>
      </c>
      <c r="D9" s="10">
        <v>5</v>
      </c>
      <c r="E9" s="3">
        <f>(B9*Configuracion!$D$4)+(C9*Configuracion!$D$5)+(D9*Configuracion!$D$6)</f>
        <v>2.5</v>
      </c>
      <c r="F9" s="2" t="str">
        <f t="shared" si="0"/>
        <v>REPROBO</v>
      </c>
      <c r="G9" s="6" t="str">
        <f>IF(F9="","",IF(E9&lt;0,"ERROR",IF(E9&lt;3,Configuracion!$C$15,IF(E9&lt;4,Configuracion!$C$16,IF(E9&lt;4.8,Configuracion!$C$17,IF(E9&lt;=5,Configuracion!$C$18,"ERROR"))))))</f>
        <v>BAJO</v>
      </c>
      <c r="J9" s="21"/>
      <c r="K9" s="21"/>
      <c r="L9" s="21"/>
      <c r="M9" s="21"/>
    </row>
    <row r="10" spans="1:13" x14ac:dyDescent="0.25">
      <c r="A10" s="2" t="str">
        <f>IF(Configuracion!A8="","",Configuracion!A8)</f>
        <v>Carlos Cedeño</v>
      </c>
      <c r="B10" s="10">
        <v>1</v>
      </c>
      <c r="C10" s="10">
        <v>2</v>
      </c>
      <c r="D10" s="10">
        <v>4.5</v>
      </c>
      <c r="E10" s="3">
        <f>(B10*Configuracion!$D$4)+(C10*Configuracion!$D$5)+(D10*Configuracion!$D$6)</f>
        <v>2.3499999999999996</v>
      </c>
      <c r="F10" s="2" t="str">
        <f t="shared" si="0"/>
        <v>REPROBO</v>
      </c>
      <c r="G10" s="6" t="str">
        <f>IF(F10="","",IF(E10&lt;0,"ERROR",IF(E10&lt;3,Configuracion!$C$15,IF(E10&lt;4,Configuracion!$C$16,IF(E10&lt;4.8,Configuracion!$C$17,IF(E10&lt;=5,Configuracion!$C$18,"ERROR"))))))</f>
        <v>BAJO</v>
      </c>
      <c r="J10" s="21"/>
      <c r="K10" s="21"/>
      <c r="L10" s="21"/>
      <c r="M10" s="21"/>
    </row>
    <row r="11" spans="1:13" x14ac:dyDescent="0.25">
      <c r="A11" s="2" t="str">
        <f>IF(Configuracion!A9="","",Configuracion!A9)</f>
        <v>Omar Corredor</v>
      </c>
      <c r="B11" s="10">
        <v>1</v>
      </c>
      <c r="C11" s="10">
        <v>5</v>
      </c>
      <c r="D11" s="10">
        <v>5</v>
      </c>
      <c r="E11" s="3">
        <f>(B11*Configuracion!$D$4)+(C11*Configuracion!$D$5)+(D11*Configuracion!$D$6)</f>
        <v>3.4</v>
      </c>
      <c r="F11" s="2" t="str">
        <f t="shared" si="0"/>
        <v>APROBO</v>
      </c>
      <c r="G11" s="6" t="str">
        <f>IF(F11="","",IF(E11&lt;0,"ERROR",IF(E11&lt;3,Configuracion!$C$15,IF(E11&lt;4,Configuracion!$C$16,IF(E11&lt;4.8,Configuracion!$C$17,IF(E11&lt;=5,Configuracion!$C$18,"ERROR"))))))</f>
        <v>MEDIO</v>
      </c>
    </row>
    <row r="12" spans="1:13" x14ac:dyDescent="0.25">
      <c r="A12" s="2" t="str">
        <f>IF(Configuracion!A10="","",Configuracion!A10)</f>
        <v>Carlos Andres</v>
      </c>
      <c r="B12" s="10">
        <v>1</v>
      </c>
      <c r="C12" s="10">
        <v>2</v>
      </c>
      <c r="D12" s="10">
        <v>4</v>
      </c>
      <c r="E12" s="3">
        <f>(B12*Configuracion!$D$4)+(C12*Configuracion!$D$5)+(D12*Configuracion!$D$6)</f>
        <v>2.2000000000000002</v>
      </c>
      <c r="F12" s="2" t="str">
        <f t="shared" si="0"/>
        <v>REPROBO</v>
      </c>
      <c r="G12" s="6" t="str">
        <f>IF(F12="","",IF(E12&lt;0,"ERROR",IF(E12&lt;3,Configuracion!$C$15,IF(E12&lt;4,Configuracion!$C$16,IF(E12&lt;4.8,Configuracion!$C$17,IF(E12&lt;=5,Configuracion!$C$18,"ERROR"))))))</f>
        <v>BAJO</v>
      </c>
      <c r="J12" s="12"/>
      <c r="K12" s="13"/>
    </row>
    <row r="13" spans="1:13" x14ac:dyDescent="0.25">
      <c r="A13" s="2" t="str">
        <f>IF(Configuracion!A11="","",Configuracion!A11)</f>
        <v>Fuckencio Martinez</v>
      </c>
      <c r="B13" s="10">
        <v>1</v>
      </c>
      <c r="C13" s="10">
        <v>5</v>
      </c>
      <c r="D13" s="10">
        <v>4</v>
      </c>
      <c r="E13" s="3">
        <f>(B13*Configuracion!$D$4)+(C13*Configuracion!$D$5)+(D13*Configuracion!$D$6)</f>
        <v>3.0999999999999996</v>
      </c>
      <c r="F13" s="2" t="str">
        <f t="shared" si="0"/>
        <v>APROBO</v>
      </c>
      <c r="G13" s="6" t="str">
        <f>IF(F13="","",IF(E13&lt;0,"ERROR",IF(E13&lt;3,Configuracion!$C$15,IF(E13&lt;4,Configuracion!$C$16,IF(E13&lt;4.8,Configuracion!$C$17,IF(E13&lt;=5,Configuracion!$C$18,"ERROR"))))))</f>
        <v>MEDIO</v>
      </c>
      <c r="J13" s="12"/>
      <c r="K13" s="13"/>
    </row>
    <row r="14" spans="1:13" x14ac:dyDescent="0.25">
      <c r="A14" s="2" t="str">
        <f>IF(Configuracion!A12="","",Configuracion!A12)</f>
        <v>Edgar Ortiz</v>
      </c>
      <c r="B14" s="10">
        <v>1</v>
      </c>
      <c r="C14" s="10">
        <v>2</v>
      </c>
      <c r="D14" s="10">
        <v>5</v>
      </c>
      <c r="E14" s="3">
        <f>(B14*Configuracion!$D$4)+(C14*Configuracion!$D$5)+(D14*Configuracion!$D$6)</f>
        <v>2.5</v>
      </c>
      <c r="F14" s="2" t="str">
        <f t="shared" si="0"/>
        <v>REPROBO</v>
      </c>
      <c r="G14" s="6" t="str">
        <f>IF(F14="","",IF(E14&lt;0,"ERROR",IF(E14&lt;3,Configuracion!$C$15,IF(E14&lt;4,Configuracion!$C$16,IF(E14&lt;4.8,Configuracion!$C$17,IF(E14&lt;=5,Configuracion!$C$18,"ERROR"))))))</f>
        <v>BAJO</v>
      </c>
      <c r="J14" s="12"/>
      <c r="K14" s="13"/>
    </row>
    <row r="15" spans="1:13" x14ac:dyDescent="0.25">
      <c r="A15" s="2" t="str">
        <f>IF(Configuracion!A13="","",Configuracion!A13)</f>
        <v>Alberto Ochoa</v>
      </c>
      <c r="B15" s="10">
        <v>1</v>
      </c>
      <c r="C15" s="10">
        <v>2</v>
      </c>
      <c r="D15" s="10">
        <v>4.5</v>
      </c>
      <c r="E15" s="3">
        <f>(B15*Configuracion!$D$4)+(C15*Configuracion!$D$5)+(D15*Configuracion!$D$6)</f>
        <v>2.3499999999999996</v>
      </c>
      <c r="F15" s="2" t="str">
        <f t="shared" si="0"/>
        <v>REPROBO</v>
      </c>
      <c r="G15" s="6" t="str">
        <f>IF(F15="","",IF(E15&lt;0,"ERROR",IF(E15&lt;3,Configuracion!$C$15,IF(E15&lt;4,Configuracion!$C$16,IF(E15&lt;4.8,Configuracion!$C$17,IF(E15&lt;=5,Configuracion!$C$18,"ERROR"))))))</f>
        <v>BAJO</v>
      </c>
    </row>
    <row r="16" spans="1:13" x14ac:dyDescent="0.25">
      <c r="A16" s="2" t="str">
        <f>IF(Configuracion!A14="","",Configuracion!A14)</f>
        <v>Alejandra Guzman</v>
      </c>
      <c r="B16" s="10">
        <v>1</v>
      </c>
      <c r="C16" s="10">
        <v>5</v>
      </c>
      <c r="D16" s="10">
        <v>5</v>
      </c>
      <c r="E16" s="3">
        <f>(B16*Configuracion!$D$4)+(C16*Configuracion!$D$5)+(D16*Configuracion!$D$6)</f>
        <v>3.4</v>
      </c>
      <c r="F16" s="2" t="str">
        <f t="shared" si="0"/>
        <v>APROBO</v>
      </c>
      <c r="G16" s="6" t="str">
        <f>IF(F16="","",IF(E16&lt;0,"ERROR",IF(E16&lt;3,Configuracion!$C$15,IF(E16&lt;4,Configuracion!$C$16,IF(E16&lt;4.8,Configuracion!$C$17,IF(E16&lt;=5,Configuracion!$C$18,"ERROR"))))))</f>
        <v>MEDIO</v>
      </c>
    </row>
    <row r="17" spans="1:7" x14ac:dyDescent="0.25">
      <c r="A17" s="2" t="str">
        <f>IF(Configuracion!A15="","",Configuracion!A15)</f>
        <v>Jenny Colmenares</v>
      </c>
      <c r="B17" s="10">
        <v>1</v>
      </c>
      <c r="C17" s="10">
        <v>2</v>
      </c>
      <c r="D17" s="10">
        <v>4</v>
      </c>
      <c r="E17" s="3">
        <f>(B17*Configuracion!$D$4)+(C17*Configuracion!$D$5)+(D17*Configuracion!$D$6)</f>
        <v>2.2000000000000002</v>
      </c>
      <c r="F17" s="2" t="str">
        <f t="shared" si="0"/>
        <v>REPROBO</v>
      </c>
      <c r="G17" s="6" t="str">
        <f>IF(F17="","",IF(E17&lt;0,"ERROR",IF(E17&lt;3,Configuracion!$C$15,IF(E17&lt;4,Configuracion!$C$16,IF(E17&lt;4.8,Configuracion!$C$17,IF(E17&lt;=5,Configuracion!$C$18,"ERROR"))))))</f>
        <v>BAJO</v>
      </c>
    </row>
    <row r="18" spans="1:7" x14ac:dyDescent="0.25">
      <c r="A18" s="2" t="str">
        <f>IF(Configuracion!A16="","",Configuracion!A16)</f>
        <v>Nelsy Pico</v>
      </c>
      <c r="B18" s="10">
        <v>1</v>
      </c>
      <c r="C18" s="10">
        <v>5</v>
      </c>
      <c r="D18" s="10">
        <v>4</v>
      </c>
      <c r="E18" s="3">
        <f>(B18*Configuracion!$D$4)+(C18*Configuracion!$D$5)+(D18*Configuracion!$D$6)</f>
        <v>3.0999999999999996</v>
      </c>
      <c r="F18" s="2" t="str">
        <f t="shared" si="0"/>
        <v>APROBO</v>
      </c>
      <c r="G18" s="6" t="str">
        <f>IF(F18="","",IF(E18&lt;0,"ERROR",IF(E18&lt;3,Configuracion!$C$15,IF(E18&lt;4,Configuracion!$C$16,IF(E18&lt;4.8,Configuracion!$C$17,IF(E18&lt;=5,Configuracion!$C$18,"ERROR"))))))</f>
        <v>MEDIO</v>
      </c>
    </row>
    <row r="19" spans="1:7" x14ac:dyDescent="0.25">
      <c r="A19" s="2" t="str">
        <f>IF(Configuracion!A17="","",Configuracion!A17)</f>
        <v>Erika Herrera</v>
      </c>
      <c r="B19" s="10">
        <v>1</v>
      </c>
      <c r="C19" s="10">
        <v>2</v>
      </c>
      <c r="D19" s="10">
        <v>5</v>
      </c>
      <c r="E19" s="3">
        <f>(B19*Configuracion!$D$4)+(C19*Configuracion!$D$5)+(D19*Configuracion!$D$6)</f>
        <v>2.5</v>
      </c>
      <c r="F19" s="2" t="str">
        <f t="shared" si="0"/>
        <v>REPROBO</v>
      </c>
      <c r="G19" s="6" t="str">
        <f>IF(F19="","",IF(E19&lt;0,"ERROR",IF(E19&lt;3,Configuracion!$C$15,IF(E19&lt;4,Configuracion!$C$16,IF(E19&lt;4.8,Configuracion!$C$17,IF(E19&lt;=5,Configuracion!$C$18,"ERROR"))))))</f>
        <v>BAJO</v>
      </c>
    </row>
    <row r="20" spans="1:7" x14ac:dyDescent="0.25">
      <c r="A20" s="2" t="str">
        <f>IF(Configuracion!A18="","",Configuracion!A18)</f>
        <v>Trollencio Gimenes</v>
      </c>
      <c r="B20" s="10">
        <v>1</v>
      </c>
      <c r="C20" s="10">
        <v>2</v>
      </c>
      <c r="D20" s="10">
        <v>4.5</v>
      </c>
      <c r="E20" s="3">
        <f>(B20*Configuracion!$D$4)+(C20*Configuracion!$D$5)+(D20*Configuracion!$D$6)</f>
        <v>2.3499999999999996</v>
      </c>
      <c r="F20" s="2" t="str">
        <f t="shared" si="0"/>
        <v>REPROBO</v>
      </c>
      <c r="G20" s="6" t="str">
        <f>IF(F20="","",IF(E20&lt;0,"ERROR",IF(E20&lt;3,Configuracion!$C$15,IF(E20&lt;4,Configuracion!$C$16,IF(E20&lt;4.8,Configuracion!$C$17,IF(E20&lt;=5,Configuracion!$C$18,"ERROR"))))))</f>
        <v>BAJO</v>
      </c>
    </row>
    <row r="21" spans="1:7" x14ac:dyDescent="0.25">
      <c r="A21" s="2" t="str">
        <f>IF(Configuracion!A19="","",Configuracion!A19)</f>
        <v/>
      </c>
      <c r="B21" s="11"/>
      <c r="C21" s="11"/>
      <c r="D21" s="11"/>
      <c r="E21" s="3">
        <f>(B21*Configuracion!$D$4)+(C21*Configuracion!$D$5)+(D21*Configuracion!$D$6)</f>
        <v>0</v>
      </c>
      <c r="F21" s="2" t="str">
        <f>IF(E21="","",IF(E21&lt;3,"REPROBO","APROBO"))</f>
        <v>REPROBO</v>
      </c>
      <c r="G21" s="6" t="str">
        <f>IF(F21="","",IF(E21&lt;0,"ERROR",IF(E21&lt;3,Configuracion!$C$15,IF(E21&lt;4,Configuracion!$C$16,IF(E21&lt;4.8,Configuracion!$C$17,IF(E21&lt;=5,Configuracion!$C$18,"ERROR"))))))</f>
        <v>BAJO</v>
      </c>
    </row>
    <row r="22" spans="1:7" x14ac:dyDescent="0.25">
      <c r="A22" s="2" t="str">
        <f>IF(Configuracion!A20="","",Configuracion!A20)</f>
        <v/>
      </c>
      <c r="B22" s="11"/>
      <c r="C22" s="11"/>
      <c r="D22" s="11"/>
      <c r="E22" s="3">
        <f>(B22*Configuracion!$D$4)+(C22*Configuracion!$D$5)+(D22*Configuracion!$D$6)</f>
        <v>0</v>
      </c>
      <c r="F22" s="2" t="str">
        <f t="shared" ref="F22:F38" si="1">IF(E22="","",IF(E22&lt;3,"REPROBO","APROBO"))</f>
        <v>REPROBO</v>
      </c>
      <c r="G22" s="6" t="str">
        <f>IF(F22="","",IF(E22&lt;0,"ERROR",IF(E22&lt;3,Configuracion!$C$15,IF(E22&lt;4,Configuracion!$C$16,IF(E22&lt;4.8,Configuracion!$C$17,IF(E22&lt;=5,Configuracion!$C$18,"ERROR"))))))</f>
        <v>BAJO</v>
      </c>
    </row>
    <row r="23" spans="1:7" x14ac:dyDescent="0.25">
      <c r="A23" s="2" t="str">
        <f>IF(Configuracion!A21="","",Configuracion!A21)</f>
        <v/>
      </c>
      <c r="B23" s="11"/>
      <c r="C23" s="11"/>
      <c r="D23" s="11"/>
      <c r="E23" s="3">
        <f>(B23*Configuracion!$D$4)+(C23*Configuracion!$D$5)+(D23*Configuracion!$D$6)</f>
        <v>0</v>
      </c>
      <c r="F23" s="2" t="str">
        <f t="shared" si="1"/>
        <v>REPROBO</v>
      </c>
      <c r="G23" s="6" t="str">
        <f>IF(F23="","",IF(E23&lt;0,"ERROR",IF(E23&lt;3,Configuracion!$C$15,IF(E23&lt;4,Configuracion!$C$16,IF(E23&lt;4.8,Configuracion!$C$17,IF(E23&lt;=5,Configuracion!$C$18,"ERROR"))))))</f>
        <v>BAJO</v>
      </c>
    </row>
    <row r="24" spans="1:7" x14ac:dyDescent="0.25">
      <c r="A24" s="2" t="str">
        <f>IF(Configuracion!A22="","",Configuracion!A22)</f>
        <v/>
      </c>
      <c r="B24" s="11"/>
      <c r="C24" s="11"/>
      <c r="D24" s="11"/>
      <c r="E24" s="3">
        <f>(B24*Configuracion!$D$4)+(C24*Configuracion!$D$5)+(D24*Configuracion!$D$6)</f>
        <v>0</v>
      </c>
      <c r="F24" s="2" t="str">
        <f t="shared" si="1"/>
        <v>REPROBO</v>
      </c>
      <c r="G24" s="6" t="str">
        <f>IF(F24="","",IF(E24&lt;0,"ERROR",IF(E24&lt;3,Configuracion!$C$15,IF(E24&lt;4,Configuracion!$C$16,IF(E24&lt;4.8,Configuracion!$C$17,IF(E24&lt;=5,Configuracion!$C$18,"ERROR"))))))</f>
        <v>BAJO</v>
      </c>
    </row>
    <row r="25" spans="1:7" x14ac:dyDescent="0.25">
      <c r="A25" s="2" t="str">
        <f>IF(Configuracion!A23="","",Configuracion!A23)</f>
        <v/>
      </c>
      <c r="B25" s="11"/>
      <c r="C25" s="11"/>
      <c r="D25" s="11"/>
      <c r="E25" s="3">
        <f>(B25*Configuracion!$D$4)+(C25*Configuracion!$D$5)+(D25*Configuracion!$D$6)</f>
        <v>0</v>
      </c>
      <c r="F25" s="2" t="str">
        <f t="shared" si="1"/>
        <v>REPROBO</v>
      </c>
      <c r="G25" s="6" t="str">
        <f>IF(F25="","",IF(E25&lt;0,"ERROR",IF(E25&lt;3,Configuracion!$C$15,IF(E25&lt;4,Configuracion!$C$16,IF(E25&lt;4.8,Configuracion!$C$17,IF(E25&lt;=5,Configuracion!$C$18,"ERROR"))))))</f>
        <v>BAJO</v>
      </c>
    </row>
    <row r="26" spans="1:7" x14ac:dyDescent="0.25">
      <c r="A26" s="2" t="str">
        <f>IF(Configuracion!A24="","",Configuracion!A24)</f>
        <v/>
      </c>
      <c r="B26" s="11"/>
      <c r="C26" s="11"/>
      <c r="D26" s="11"/>
      <c r="E26" s="3">
        <f>(B26*Configuracion!$D$4)+(C26*Configuracion!$D$5)+(D26*Configuracion!$D$6)</f>
        <v>0</v>
      </c>
      <c r="F26" s="2" t="str">
        <f t="shared" si="1"/>
        <v>REPROBO</v>
      </c>
      <c r="G26" s="6" t="str">
        <f>IF(F26="","",IF(E26&lt;0,"ERROR",IF(E26&lt;3,Configuracion!$C$15,IF(E26&lt;4,Configuracion!$C$16,IF(E26&lt;4.8,Configuracion!$C$17,IF(E26&lt;=5,Configuracion!$C$18,"ERROR"))))))</f>
        <v>BAJO</v>
      </c>
    </row>
    <row r="27" spans="1:7" x14ac:dyDescent="0.25">
      <c r="A27" s="2" t="str">
        <f>IF(Configuracion!A25="","",Configuracion!A25)</f>
        <v/>
      </c>
      <c r="B27" s="11"/>
      <c r="C27" s="11"/>
      <c r="D27" s="11"/>
      <c r="E27" s="3">
        <f>(B27*Configuracion!$D$4)+(C27*Configuracion!$D$5)+(D27*Configuracion!$D$6)</f>
        <v>0</v>
      </c>
      <c r="F27" s="2" t="str">
        <f t="shared" si="1"/>
        <v>REPROBO</v>
      </c>
      <c r="G27" s="6" t="str">
        <f>IF(F27="","",IF(E27&lt;0,"ERROR",IF(E27&lt;3,Configuracion!$C$15,IF(E27&lt;4,Configuracion!$C$16,IF(E27&lt;4.8,Configuracion!$C$17,IF(E27&lt;=5,Configuracion!$C$18,"ERROR"))))))</f>
        <v>BAJO</v>
      </c>
    </row>
    <row r="28" spans="1:7" x14ac:dyDescent="0.25">
      <c r="A28" s="2" t="str">
        <f>IF(Configuracion!A26="","",Configuracion!A26)</f>
        <v/>
      </c>
      <c r="B28" s="11"/>
      <c r="C28" s="11"/>
      <c r="D28" s="11"/>
      <c r="E28" s="3">
        <f>(B28*Configuracion!$D$4)+(C28*Configuracion!$D$5)+(D28*Configuracion!$D$6)</f>
        <v>0</v>
      </c>
      <c r="F28" s="2" t="str">
        <f t="shared" si="1"/>
        <v>REPROBO</v>
      </c>
      <c r="G28" s="6" t="str">
        <f>IF(F28="","",IF(E28&lt;0,"ERROR",IF(E28&lt;3,Configuracion!$C$15,IF(E28&lt;4,Configuracion!$C$16,IF(E28&lt;4.8,Configuracion!$C$17,IF(E28&lt;=5,Configuracion!$C$18,"ERROR"))))))</f>
        <v>BAJO</v>
      </c>
    </row>
    <row r="29" spans="1:7" x14ac:dyDescent="0.25">
      <c r="A29" s="2" t="str">
        <f>IF(Configuracion!A27="","",Configuracion!A27)</f>
        <v/>
      </c>
      <c r="B29" s="11"/>
      <c r="C29" s="11"/>
      <c r="D29" s="11"/>
      <c r="E29" s="3">
        <f>(B29*Configuracion!$D$4)+(C29*Configuracion!$D$5)+(D29*Configuracion!$D$6)</f>
        <v>0</v>
      </c>
      <c r="F29" s="2" t="str">
        <f t="shared" si="1"/>
        <v>REPROBO</v>
      </c>
      <c r="G29" s="6" t="str">
        <f>IF(F29="","",IF(E29&lt;0,"ERROR",IF(E29&lt;3,Configuracion!$C$15,IF(E29&lt;4,Configuracion!$C$16,IF(E29&lt;4.8,Configuracion!$C$17,IF(E29&lt;=5,Configuracion!$C$18,"ERROR"))))))</f>
        <v>BAJO</v>
      </c>
    </row>
    <row r="30" spans="1:7" x14ac:dyDescent="0.25">
      <c r="A30" s="2" t="str">
        <f>IF(Configuracion!A28="","",Configuracion!A28)</f>
        <v/>
      </c>
      <c r="B30" s="11"/>
      <c r="C30" s="11"/>
      <c r="D30" s="11"/>
      <c r="E30" s="3">
        <f>(B30*Configuracion!$D$4)+(C30*Configuracion!$D$5)+(D30*Configuracion!$D$6)</f>
        <v>0</v>
      </c>
      <c r="F30" s="2" t="str">
        <f t="shared" si="1"/>
        <v>REPROBO</v>
      </c>
      <c r="G30" s="6" t="str">
        <f>IF(F30="","",IF(E30&lt;0,"ERROR",IF(E30&lt;3,Configuracion!$C$15,IF(E30&lt;4,Configuracion!$C$16,IF(E30&lt;4.8,Configuracion!$C$17,IF(E30&lt;=5,Configuracion!$C$18,"ERROR"))))))</f>
        <v>BAJO</v>
      </c>
    </row>
    <row r="31" spans="1:7" x14ac:dyDescent="0.25">
      <c r="A31" s="2" t="str">
        <f>IF(Configuracion!A29="","",Configuracion!A29)</f>
        <v/>
      </c>
      <c r="B31" s="11"/>
      <c r="C31" s="11"/>
      <c r="D31" s="11"/>
      <c r="E31" s="3">
        <f>(B31*Configuracion!$D$4)+(C31*Configuracion!$D$5)+(D31*Configuracion!$D$6)</f>
        <v>0</v>
      </c>
      <c r="F31" s="2" t="str">
        <f t="shared" si="1"/>
        <v>REPROBO</v>
      </c>
      <c r="G31" s="6" t="str">
        <f>IF(F31="","",IF(E31&lt;0,"ERROR",IF(E31&lt;3,Configuracion!$C$15,IF(E31&lt;4,Configuracion!$C$16,IF(E31&lt;4.8,Configuracion!$C$17,IF(E31&lt;=5,Configuracion!$C$18,"ERROR"))))))</f>
        <v>BAJO</v>
      </c>
    </row>
    <row r="32" spans="1:7" x14ac:dyDescent="0.25">
      <c r="A32" s="2" t="str">
        <f>IF(Configuracion!A30="","",Configuracion!A30)</f>
        <v/>
      </c>
      <c r="B32" s="11"/>
      <c r="C32" s="11"/>
      <c r="D32" s="11"/>
      <c r="E32" s="3">
        <f>(B32*Configuracion!$D$4)+(C32*Configuracion!$D$5)+(D32*Configuracion!$D$6)</f>
        <v>0</v>
      </c>
      <c r="F32" s="2" t="str">
        <f t="shared" si="1"/>
        <v>REPROBO</v>
      </c>
      <c r="G32" s="6" t="str">
        <f>IF(F32="","",IF(E32&lt;0,"ERROR",IF(E32&lt;3,Configuracion!$C$15,IF(E32&lt;4,Configuracion!$C$16,IF(E32&lt;4.8,Configuracion!$C$17,IF(E32&lt;=5,Configuracion!$C$18,"ERROR"))))))</f>
        <v>BAJO</v>
      </c>
    </row>
    <row r="33" spans="1:7" x14ac:dyDescent="0.25">
      <c r="A33" s="2" t="str">
        <f>IF(Configuracion!A31="","",Configuracion!A31)</f>
        <v/>
      </c>
      <c r="B33" s="11"/>
      <c r="C33" s="11"/>
      <c r="D33" s="11"/>
      <c r="E33" s="3">
        <f>(B33*Configuracion!$D$4)+(C33*Configuracion!$D$5)+(D33*Configuracion!$D$6)</f>
        <v>0</v>
      </c>
      <c r="F33" s="2" t="str">
        <f t="shared" si="1"/>
        <v>REPROBO</v>
      </c>
      <c r="G33" s="6" t="str">
        <f>IF(F33="","",IF(E33&lt;0,"ERROR",IF(E33&lt;3,Configuracion!$C$15,IF(E33&lt;4,Configuracion!$C$16,IF(E33&lt;4.8,Configuracion!$C$17,IF(E33&lt;=5,Configuracion!$C$18,"ERROR"))))))</f>
        <v>BAJO</v>
      </c>
    </row>
    <row r="34" spans="1:7" x14ac:dyDescent="0.25">
      <c r="A34" s="2" t="str">
        <f>IF(Configuracion!A32="","",Configuracion!A32)</f>
        <v/>
      </c>
      <c r="B34" s="11"/>
      <c r="C34" s="11"/>
      <c r="D34" s="11"/>
      <c r="E34" s="3">
        <f>(B34*Configuracion!$D$4)+(C34*Configuracion!$D$5)+(D34*Configuracion!$D$6)</f>
        <v>0</v>
      </c>
      <c r="F34" s="2" t="str">
        <f t="shared" si="1"/>
        <v>REPROBO</v>
      </c>
      <c r="G34" s="6" t="str">
        <f>IF(F34="","",IF(E34&lt;0,"ERROR",IF(E34&lt;3,Configuracion!$C$15,IF(E34&lt;4,Configuracion!$C$16,IF(E34&lt;4.8,Configuracion!$C$17,IF(E34&lt;=5,Configuracion!$C$18,"ERROR"))))))</f>
        <v>BAJO</v>
      </c>
    </row>
    <row r="35" spans="1:7" x14ac:dyDescent="0.25">
      <c r="A35" s="2" t="str">
        <f>IF(Configuracion!A33="","",Configuracion!A33)</f>
        <v/>
      </c>
      <c r="B35" s="11"/>
      <c r="C35" s="11"/>
      <c r="D35" s="11"/>
      <c r="E35" s="3">
        <f>(B35*Configuracion!$D$4)+(C35*Configuracion!$D$5)+(D35*Configuracion!$D$6)</f>
        <v>0</v>
      </c>
      <c r="F35" s="2" t="str">
        <f t="shared" si="1"/>
        <v>REPROBO</v>
      </c>
      <c r="G35" s="6" t="str">
        <f>IF(F35="","",IF(E35&lt;0,"ERROR",IF(E35&lt;3,Configuracion!$C$15,IF(E35&lt;4,Configuracion!$C$16,IF(E35&lt;4.8,Configuracion!$C$17,IF(E35&lt;=5,Configuracion!$C$18,"ERROR"))))))</f>
        <v>BAJO</v>
      </c>
    </row>
    <row r="36" spans="1:7" x14ac:dyDescent="0.25">
      <c r="A36" s="2" t="str">
        <f>IF(Configuracion!A34="","",Configuracion!A34)</f>
        <v/>
      </c>
      <c r="B36" s="11"/>
      <c r="C36" s="11"/>
      <c r="D36" s="11"/>
      <c r="E36" s="3">
        <f>(B36*Configuracion!$D$4)+(C36*Configuracion!$D$5)+(D36*Configuracion!$D$6)</f>
        <v>0</v>
      </c>
      <c r="F36" s="2" t="str">
        <f t="shared" si="1"/>
        <v>REPROBO</v>
      </c>
      <c r="G36" s="6" t="str">
        <f>IF(F36="","",IF(E36&lt;0,"ERROR",IF(E36&lt;3,Configuracion!$C$15,IF(E36&lt;4,Configuracion!$C$16,IF(E36&lt;4.8,Configuracion!$C$17,IF(E36&lt;=5,Configuracion!$C$18,"ERROR"))))))</f>
        <v>BAJO</v>
      </c>
    </row>
    <row r="37" spans="1:7" x14ac:dyDescent="0.25">
      <c r="A37" s="2" t="str">
        <f>IF(Configuracion!A35="","",Configuracion!A35)</f>
        <v/>
      </c>
      <c r="B37" s="11"/>
      <c r="C37" s="11"/>
      <c r="D37" s="11"/>
      <c r="E37" s="3">
        <f>(B37*Configuracion!$D$4)+(C37*Configuracion!$D$5)+(D37*Configuracion!$D$6)</f>
        <v>0</v>
      </c>
      <c r="F37" s="2" t="str">
        <f t="shared" si="1"/>
        <v>REPROBO</v>
      </c>
      <c r="G37" s="6" t="str">
        <f>IF(F37="","",IF(E37&lt;0,"ERROR",IF(E37&lt;3,Configuracion!$C$15,IF(E37&lt;4,Configuracion!$C$16,IF(E37&lt;4.8,Configuracion!$C$17,IF(E37&lt;=5,Configuracion!$C$18,"ERROR"))))))</f>
        <v>BAJO</v>
      </c>
    </row>
    <row r="38" spans="1:7" x14ac:dyDescent="0.25">
      <c r="A38" s="2" t="str">
        <f>IF(Configuracion!A36="","",Configuracion!A36)</f>
        <v/>
      </c>
      <c r="B38" s="11"/>
      <c r="C38" s="11"/>
      <c r="D38" s="11"/>
      <c r="E38" s="3">
        <f>(B38*Configuracion!$D$4)+(C38*Configuracion!$D$5)+(D38*Configuracion!$D$6)</f>
        <v>0</v>
      </c>
      <c r="F38" s="2" t="str">
        <f t="shared" si="1"/>
        <v>REPROBO</v>
      </c>
      <c r="G38" s="6" t="str">
        <f>IF(F38="","",IF(E38&lt;0,"ERROR",IF(E38&lt;3,Configuracion!$C$15,IF(E38&lt;4,Configuracion!$C$16,IF(E38&lt;4.8,Configuracion!$C$17,IF(E38&lt;=5,Configuracion!$C$18,"ERROR"))))))</f>
        <v>BAJO</v>
      </c>
    </row>
  </sheetData>
  <mergeCells count="3">
    <mergeCell ref="A1:G1"/>
    <mergeCell ref="A3:G3"/>
    <mergeCell ref="J7:M10"/>
  </mergeCells>
  <conditionalFormatting sqref="B6:D38">
    <cfRule type="cellIs" dxfId="5" priority="1" operator="notBetween">
      <formula>0</formula>
      <formula>5</formula>
    </cfRule>
  </conditionalFormatting>
  <conditionalFormatting sqref="G6:G38">
    <cfRule type="containsText" dxfId="4" priority="2" operator="containsText" text="SUPERIOR">
      <formula>NOT(ISERROR(SEARCH("SUPERIOR",G6)))</formula>
    </cfRule>
    <cfRule type="containsText" dxfId="3" priority="3" operator="containsText" text="ALTO">
      <formula>NOT(ISERROR(SEARCH("ALTO",G6)))</formula>
    </cfRule>
    <cfRule type="containsText" dxfId="2" priority="4" operator="containsText" text="MEDIO">
      <formula>NOT(ISERROR(SEARCH("MEDIO",G6)))</formula>
    </cfRule>
    <cfRule type="containsText" dxfId="1" priority="5" operator="containsText" text="BAJO">
      <formula>NOT(ISERROR(SEARCH("BAJO",G6)))</formula>
    </cfRule>
    <cfRule type="containsText" dxfId="0" priority="6" operator="containsText" text="ERROR">
      <formula>NOT(ISERROR(SEARCH("ERROR",G6)))</formula>
    </cfRule>
  </conditionalFormatting>
  <dataValidations count="1">
    <dataValidation type="decimal" allowBlank="1" showInputMessage="1" showErrorMessage="1" sqref="B6:D38" xr:uid="{B748F8DD-2D27-4CC7-95D1-4F21A05AEEB7}">
      <formula1>0</formula1>
      <formula2>5</formula2>
    </dataValidation>
  </dataValidation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Configuracion</vt:lpstr>
      <vt:lpstr>Notas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Dostin Hurtado</dc:creator>
  <cp:lastModifiedBy>Javier Aguilar</cp:lastModifiedBy>
  <cp:lastPrinted>2019-05-13T05:04:53Z</cp:lastPrinted>
  <dcterms:created xsi:type="dcterms:W3CDTF">2019-04-30T01:01:09Z</dcterms:created>
  <dcterms:modified xsi:type="dcterms:W3CDTF">2025-07-26T22:57:22Z</dcterms:modified>
</cp:coreProperties>
</file>